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sther.espejo\Documents\FORMACIÓN\00_ADM\01_EVALUACION\"/>
    </mc:Choice>
  </mc:AlternateContent>
  <xr:revisionPtr revIDLastSave="0" documentId="13_ncr:1_{9AEC2849-2BAF-4953-BDBC-CA49162BA9E2}" xr6:coauthVersionLast="47" xr6:coauthVersionMax="47" xr10:uidLastSave="{00000000-0000-0000-0000-000000000000}"/>
  <bookViews>
    <workbookView xWindow="28680" yWindow="-120" windowWidth="29040" windowHeight="15720" activeTab="1" xr2:uid="{497D6E20-9A3C-432F-BF78-717BC962E7E7}"/>
  </bookViews>
  <sheets>
    <sheet name="Rúbrica individual" sheetId="4" r:id="rId1"/>
    <sheet name="Autoevaluación individual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3" i="6"/>
  <c r="E4" i="6"/>
  <c r="E5" i="6"/>
  <c r="E6" i="6"/>
  <c r="E7" i="6"/>
  <c r="E8" i="6"/>
  <c r="E9" i="6"/>
  <c r="E10" i="6"/>
  <c r="E11" i="6"/>
  <c r="E12" i="6" l="1"/>
</calcChain>
</file>

<file path=xl/sharedStrings.xml><?xml version="1.0" encoding="utf-8"?>
<sst xmlns="http://schemas.openxmlformats.org/spreadsheetml/2006/main" count="91" uniqueCount="80">
  <si>
    <t>Criterio</t>
  </si>
  <si>
    <t>Peso (%)</t>
  </si>
  <si>
    <t>Nivel 1 (Deficiente)</t>
  </si>
  <si>
    <t>Nivel 2 (Aceptable)</t>
  </si>
  <si>
    <t>Nivel 3 (Bueno)</t>
  </si>
  <si>
    <t>Nivel 4 (Excelente)</t>
  </si>
  <si>
    <t>Comprensión y aplicación de la arquitectura del proyecto</t>
  </si>
  <si>
    <t>Demuestra poca comprensión de la arquitectura acordada; su código rompe la coherencia del sistema y no sigue los estándares definidos.</t>
  </si>
  <si>
    <t>Entiende la arquitectura general y sigue algunas pautas, pero comete errores que afectan la estructura global; aplica parcialmente los principios de diseño acordados.</t>
  </si>
  <si>
    <t>Aplica correctamente la arquitectura acordada en sus aportes; su código sigue la mayoría de los estándares y contribuye a una estructura coherente del proyecto.</t>
  </si>
  <si>
    <t>Demuestra completa comprensión de la arquitectura del proyecto; sus aportes mejoran la estructura general y siguen rigurosamente los patrones y estándares definidos.</t>
  </si>
  <si>
    <t>Desarrollo de funcionalidades asignadas</t>
  </si>
  <si>
    <t>Las funcionalidades asignadas no se implementan o funcionan incorrectamente, con múltiples errores.</t>
  </si>
  <si>
    <t>Implementa parte de las funcionalidades asignadas, pero hay fallos o características incompletas en las tareas que le correspondían.</t>
  </si>
  <si>
    <t>Implementa correctamente las funcionalidades asignadas, con pocos errores menores; cumple con la mayoría de los requisitos funcionales asignados.</t>
  </si>
  <si>
    <t>Cumple completamente con las funcionalidades asignadas; el trabajo entregado funciona correctamente y destaca por su calidad y atención a detalles.</t>
  </si>
  <si>
    <t>Calidad del código (SOLID y buenas prácticas)</t>
  </si>
  <si>
    <r>
      <t xml:space="preserve">El código escrito es de mala calidad: </t>
    </r>
    <r>
      <rPr>
        <b/>
        <sz val="11"/>
        <color theme="1"/>
        <rFont val="Aptos Narrow"/>
        <family val="2"/>
        <scheme val="minor"/>
      </rPr>
      <t>no sigue</t>
    </r>
    <r>
      <rPr>
        <sz val="11"/>
        <color theme="1"/>
        <rFont val="Aptos Narrow"/>
        <family val="2"/>
        <scheme val="minor"/>
      </rPr>
      <t xml:space="preserve"> principios SOLID ni buenas prácticas; es difícil de entender y de mantener.</t>
    </r>
  </si>
  <si>
    <t>El código cumple de forma básica su función, pero presenta deficiencias en legibilidad o buenas prácticas; algunos principios SOLID no se aplican consistentemente.</t>
  </si>
  <si>
    <t>El código es limpio y estructurado; sigue los principios SOLID la mayor parte del tiempo y utiliza estructuras de datos apropiadas.</t>
  </si>
  <si>
    <t>El código es un ejemplo de buenas prácticas: sigue completamente los principios SOLID, aplica patrones de diseño donde conviene y es muy legible y mantenible.</t>
  </si>
  <si>
    <t>Pruebas unitarias</t>
  </si>
  <si>
    <r>
      <t xml:space="preserve">No escribe pruebas unitarias o las pruebas son insuficientes y </t>
    </r>
    <r>
      <rPr>
        <b/>
        <sz val="11"/>
        <color theme="1"/>
        <rFont val="Aptos Narrow"/>
        <family val="2"/>
        <scheme val="minor"/>
      </rPr>
      <t>no cubren</t>
    </r>
    <r>
      <rPr>
        <sz val="11"/>
        <color theme="1"/>
        <rFont val="Aptos Narrow"/>
        <family val="2"/>
        <scheme val="minor"/>
      </rPr>
      <t xml:space="preserve"> los casos necesarios.</t>
    </r>
  </si>
  <si>
    <t>Escribe algunas pruebas unitarias para su código, pero la cobertura es limitada o se omiten casos importantes.</t>
  </si>
  <si>
    <t>Realiza pruebas unitarias adecuadas para su código, cubriendo la mayoría de los casos principales y ayudando a garantizar la funcionalidad.</t>
  </si>
  <si>
    <t>Implementa pruebas unitarias completas y rigurosas para su código; los tests cubren todos los casos relevantes y evidencian un alto nivel de garantía de calidad.</t>
  </si>
  <si>
    <t>CI/CD y despliegue</t>
  </si>
  <si>
    <t>No contribuye al pipeline de CI/CD; no ha configurado despliegues automáticos.</t>
  </si>
  <si>
    <t>Contribuye mínimamente: participa en configuraciones básicas de CI/CD, pero requiere mucha intervención manual o presenta fallos.</t>
  </si>
  <si>
    <t>Participa en la configuración del CI/CD; el pipeline funciona adecuadamente y despliega al menos en un entorno de pruebas.</t>
  </si>
  <si>
    <t>Contribuye proactivamente al CI/CD; configura pipelines eficientes y fiables que automatizan pruebas y despliegues en todos los entornos.</t>
  </si>
  <si>
    <t>Frontend</t>
  </si>
  <si>
    <t>La participación en tareas frontend ha sido mínima o nula. No demuestra conocimientos ni iniciativa en el desarrollo del frontend de la aplicación.</t>
  </si>
  <si>
    <t>Ha contribuido de forma puntual en aspectos del frontend, pero con poca autonomía o comprensión limitada del stack utilizado.</t>
  </si>
  <si>
    <t>Participa activamente en el desarrollo frontend, aportando soluciones y mostrando competencia técnica en componentes, estilos o integraciones.</t>
  </si>
  <si>
    <t>Ha liderado o impulsado el desarrollo del frontend con propuestas sólidas, buenas prácticas, documentación clara y colaboración activa</t>
  </si>
  <si>
    <t>Backend</t>
  </si>
  <si>
    <t>No ha realizado tareas significativas en el backend o sus contribuciones han sido erróneas o ineficientes.</t>
  </si>
  <si>
    <t>Ha desarrollado partes del backend con apoyo frecuente, mostrando dificultades en lógica, estructura o conexión con la base de datos</t>
  </si>
  <si>
    <t>Contribuye de forma consistente al backend, comprendiendo las estructuras, endpoints y lógica de negocio del sistema</t>
  </si>
  <si>
    <t>Ha asumido un papel clave en el backend, estructurando servicios, optimizando código y manteniendo una arquitectura limpia y funcional</t>
  </si>
  <si>
    <t>Documentación y comunicación</t>
  </si>
  <si>
    <t>No aporta a la documentación del proyecto; el README o los comentarios en código que hizo son insuficientes o inexistentes.</t>
  </si>
  <si>
    <t>Su aporte a la documentación es limitado; escribió algunas secciones del README pero faltan detalles importantes o actualizaciones.</t>
  </si>
  <si>
    <t>Contribuye de manera adecuada a la documentación: agregó información relevante al README o comentarios de código útiles para entender su trabajo.</t>
  </si>
  <si>
    <t>Su contribución a la documentación es sobresaliente: el README refleja completamente su aportación con detalles claros, y el código incluye comentarios explicativos de alta calidad.</t>
  </si>
  <si>
    <t>Control de versiones</t>
  </si>
  <si>
    <t>No usa correctamente el control de versiones: no hace commits, o los mensajes no siguen la semántica, y no participa en pull requests.</t>
  </si>
  <si>
    <t>Usa el control de versiones de forma básica: realiza commits pero no siempre descriptivos, y participa mínimamente en pull requests o revisiones de otros.</t>
  </si>
  <si>
    <t>Usa de manera adecuada el control de versiones: sus commits son coherentes y semánticos, abre pull requests y responde a las revisiones de forma responsable.</t>
  </si>
  <si>
    <t>Maneja el control de versiones de manera ejemplar: commits claros y semánticos, activa participación en pull requests con revisiones constructivas, y mantiene el historial ordenado.</t>
  </si>
  <si>
    <t>Trabajo en equipo y metodologías ágiles</t>
  </si>
  <si>
    <t>Participa poco en el equipo, no comunica problemas ni ideas, y no sigue las prácticas ágiles acordadas.</t>
  </si>
  <si>
    <t>Colabora de forma irregular: asiste a algunas reuniones y sigue algunas prácticas, pero no siempre cumple con lo pactado ni comparte su progreso.</t>
  </si>
  <si>
    <t>Colabora activamente: participa en reuniones, sigue las prácticas ágiles (sprints, revisiones) y cumple la mayoría de sus compromisos con el equipo.</t>
  </si>
  <si>
    <t>Es un miembro destacado del equipo: promueve la colaboración, propone mejoras en el proceso, cumple puntualmente sus tareas y practica plenamente las metodologías ágiles.</t>
  </si>
  <si>
    <t>¿Qué se mide?</t>
  </si>
  <si>
    <t>Valoración (1-4)</t>
  </si>
  <si>
    <t>Justificación</t>
  </si>
  <si>
    <t>Columna1</t>
  </si>
  <si>
    <t>Entendimiento de la arquitectura acordada y aplicación de sus estándares y patrones en tu código.</t>
  </si>
  <si>
    <t>Implementación correcta de las tareas y funcionalidades que te fueron asignadas en el proyecto.</t>
  </si>
  <si>
    <t>Uso de principios SOLID, patrones de diseño y buenas prácticas en el código que escribes.</t>
  </si>
  <si>
    <t>Creación de pruebas unitarias para tu código y cobertura adecuada de casos relevantes.</t>
  </si>
  <si>
    <t>Participación en la configuración del pipeline CI/CD y en el despliegue automatizado del proyecto.</t>
  </si>
  <si>
    <t xml:space="preserve">Participación en el desarrollo del frontend </t>
  </si>
  <si>
    <t>Participación en el desarrollo del backend</t>
  </si>
  <si>
    <t>Contribución al README y documentación del proyecto, así como comentarios claros en el código.</t>
  </si>
  <si>
    <t>Uso adecuado del control de versiones (commits descriptivos, pull requests, revisiones) en tus contribuciones.</t>
  </si>
  <si>
    <t>Participación en el equipo y cumplimiento de prácticas ágiles (reuniones, entregas) planificadas.</t>
  </si>
  <si>
    <t>Aunque el nombramiento de los commits tenga cierta lógica, se podría mejorar siguiendo estrictamente la convección "Conventional Commits"</t>
  </si>
  <si>
    <t>He participado en el desarrollo de algunas funcionalidades en el frontend, además de aportar ideas en el diseño de áreas del frontend.</t>
  </si>
  <si>
    <t>He participado en la creación de pruebas unitarias en el código desarrollado tanto en el backend como en el frontend. Quizás haya algunas mejoras en las pruebas para alcanzar la excelencia.</t>
  </si>
  <si>
    <t xml:space="preserve">He contribuido continua y activamente al desarrollo del README y la documentación del código, proponiendo mejoras y estructuración del documento. </t>
  </si>
  <si>
    <t>He participado desde el inicio en el desarrollo de la estructura de la arquitectura propuesta, aplicando la mayoría de sus principios en el código desarrollado.</t>
  </si>
  <si>
    <t>He implementado correctamente las funcionalidades asignadas, cumpliendo con los requisitos  funcionales asignados, añadiendo ciertas mejoras y proponiendo nuevas alternativas a las funcionalidades requeridas.</t>
  </si>
  <si>
    <t>El código desarrollado es limpio y estructurado, siguiendo mayoritariamente los principios SOLID.</t>
  </si>
  <si>
    <t>He participado activamente desde el inicio del desarrollo del backend en la estructura de la arquitectura DDD, he  desarrollado el backend de ciertas funcionalidades incluido documentación y tests. He propuesto y desarrollado mejoras en el backend como la inclusión de seeders para la base de datos.</t>
  </si>
  <si>
    <t>Como responsable Scrum máster del equipo podría decir que todos los miembros del equipo han seguido notablemente las metodologías ágiles</t>
  </si>
  <si>
    <t xml:space="preserve">La configuración del pipeline CI/CD y el despliegue ha sido desarrollada por el responsable DevOps del equipo tal y como ha sido acordado en el reparto de tareas en el equipo.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</si>
</sst>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F971FC-9700-4A3C-87E3-787EAE6566BC}" name="Tabla2" displayName="Tabla2" ref="A1:F11" totalsRowShown="0" headerRowDxfId="18" dataDxfId="17">
  <autoFilter ref="A1:F11" xr:uid="{30F971FC-9700-4A3C-87E3-787EAE6566BC}"/>
  <tableColumns count="6">
    <tableColumn id="1" xr3:uid="{CE729B48-AC99-45BD-81E0-51B5BF2A2C53}" name="Criterio" dataDxfId="16"/>
    <tableColumn id="2" xr3:uid="{3C4DC7C3-EA57-4503-A7D8-B053BD6FC13F}" name="Peso (%)" dataDxfId="15"/>
    <tableColumn id="3" xr3:uid="{55F35156-384F-4263-90CF-079197902D1B}" name="Nivel 1 (Deficiente)" dataDxfId="14"/>
    <tableColumn id="4" xr3:uid="{EAC66B03-6377-4C7B-A731-09AC0AEF0F0A}" name="Nivel 2 (Aceptable)" dataDxfId="13"/>
    <tableColumn id="5" xr3:uid="{808484DF-4456-410B-AA98-CC5636FD2464}" name="Nivel 3 (Bueno)" dataDxfId="12"/>
    <tableColumn id="6" xr3:uid="{8B239C46-4045-4BD7-8E46-03F83A35B6AD}" name="Nivel 4 (Excelente)" dataDxfId="1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42500-2DC9-4774-996A-AC8C1FFC9A45}" name="Tabla1" displayName="Tabla1" ref="A1:E12" totalsRowCount="1" headerRowDxfId="10" dataDxfId="9">
  <autoFilter ref="A1:E11" xr:uid="{23B42500-2DC9-4774-996A-AC8C1FFC9A45}"/>
  <tableColumns count="5">
    <tableColumn id="1" xr3:uid="{BC9AD242-DEE2-41C4-83A6-0528EC0D2C2E}" name="Criterio" dataDxfId="8" totalsRowDxfId="3"/>
    <tableColumn id="2" xr3:uid="{D8A41584-BB8E-4253-B8B5-F0D201152A0B}" name="¿Qué se mide?" dataDxfId="7" totalsRowDxfId="2"/>
    <tableColumn id="3" xr3:uid="{EF9EF6E4-1926-4BDA-9ACB-8561221CDE06}" name="Valoración (1-4)" dataDxfId="6" totalsRowDxfId="1"/>
    <tableColumn id="4" xr3:uid="{0B7B10D4-DAB9-4EE1-9D85-21F2F41DBD2D}" name="Justificación" dataDxfId="5"/>
    <tableColumn id="5" xr3:uid="{4B289668-D5C2-44E5-ABDC-83987FD9BC55}" name="Columna1" totalsRowFunction="custom" dataDxfId="4" totalsRowDxfId="0">
      <calculatedColumnFormula>Tabla1[[#This Row],[Valoración (1-4)]]*Tabla2[[#This Row],[Peso (%)]]/100</calculatedColumnFormula>
      <totalsRowFormula>SUM(Tabla1[Columna1])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29E3-637F-4F59-B5ED-69BE7E8C9FDE}">
  <dimension ref="A1:F11"/>
  <sheetViews>
    <sheetView workbookViewId="0">
      <selection activeCell="F9" sqref="F9"/>
    </sheetView>
  </sheetViews>
  <sheetFormatPr baseColWidth="10" defaultColWidth="11.453125" defaultRowHeight="14.5" x14ac:dyDescent="0.35"/>
  <cols>
    <col min="1" max="1" width="41" customWidth="1"/>
    <col min="2" max="2" width="11.453125" style="7"/>
    <col min="3" max="6" width="50.7265625" customWidth="1"/>
  </cols>
  <sheetData>
    <row r="1" spans="1:6" x14ac:dyDescent="0.3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3.5" x14ac:dyDescent="0.35">
      <c r="A2" s="6" t="s">
        <v>6</v>
      </c>
      <c r="B2" s="1">
        <v>10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3.5" x14ac:dyDescent="0.35">
      <c r="A3" s="6" t="s">
        <v>11</v>
      </c>
      <c r="B3" s="1">
        <v>15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3.5" x14ac:dyDescent="0.35">
      <c r="A4" s="6" t="s">
        <v>16</v>
      </c>
      <c r="B4" s="1">
        <v>15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43.5" x14ac:dyDescent="0.35">
      <c r="A5" s="6" t="s">
        <v>21</v>
      </c>
      <c r="B5" s="1">
        <v>15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43.5" x14ac:dyDescent="0.35">
      <c r="A6" s="6" t="s">
        <v>26</v>
      </c>
      <c r="B6" s="1">
        <v>5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43.5" x14ac:dyDescent="0.35">
      <c r="A7" s="6" t="s">
        <v>31</v>
      </c>
      <c r="B7" s="1">
        <v>5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43.5" x14ac:dyDescent="0.35">
      <c r="A8" s="6" t="s">
        <v>36</v>
      </c>
      <c r="B8" s="1">
        <v>5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58" x14ac:dyDescent="0.35">
      <c r="A9" s="6" t="s">
        <v>41</v>
      </c>
      <c r="B9" s="1">
        <v>5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61.5" customHeight="1" x14ac:dyDescent="0.35">
      <c r="A10" s="6" t="s">
        <v>46</v>
      </c>
      <c r="B10" s="1">
        <v>10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ht="58" x14ac:dyDescent="0.35">
      <c r="A11" s="6" t="s">
        <v>51</v>
      </c>
      <c r="B11" s="1">
        <v>15</v>
      </c>
      <c r="C11" s="3" t="s">
        <v>52</v>
      </c>
      <c r="D11" s="3" t="s">
        <v>53</v>
      </c>
      <c r="E11" s="3" t="s">
        <v>54</v>
      </c>
      <c r="F11" s="3" t="s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8986-CC12-4F91-9472-A87B7B3FF268}">
  <dimension ref="A1:E12"/>
  <sheetViews>
    <sheetView tabSelected="1" topLeftCell="A3" zoomScaleNormal="100" workbookViewId="0">
      <selection activeCell="D11" sqref="D11"/>
    </sheetView>
  </sheetViews>
  <sheetFormatPr baseColWidth="10" defaultColWidth="11.453125" defaultRowHeight="14.5" x14ac:dyDescent="0.35"/>
  <cols>
    <col min="1" max="1" width="48" customWidth="1"/>
    <col min="2" max="2" width="57.453125" customWidth="1"/>
    <col min="3" max="3" width="18" customWidth="1"/>
    <col min="4" max="4" width="66.26953125" customWidth="1"/>
    <col min="5" max="5" width="7.54296875" hidden="1" customWidth="1"/>
  </cols>
  <sheetData>
    <row r="1" spans="1:5" ht="29" x14ac:dyDescent="0.35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</row>
    <row r="2" spans="1:5" ht="54" customHeight="1" x14ac:dyDescent="0.35">
      <c r="A2" s="5" t="s">
        <v>6</v>
      </c>
      <c r="B2" s="5" t="s">
        <v>60</v>
      </c>
      <c r="C2" s="5">
        <v>3</v>
      </c>
      <c r="D2" s="5" t="s">
        <v>74</v>
      </c>
      <c r="E2" s="5">
        <f>Tabla1[[#This Row],[Valoración (1-4)]]*Tabla2[[#This Row],[Peso (%)]]/100</f>
        <v>0.3</v>
      </c>
    </row>
    <row r="3" spans="1:5" ht="48" customHeight="1" x14ac:dyDescent="0.35">
      <c r="A3" s="5" t="s">
        <v>11</v>
      </c>
      <c r="B3" s="5" t="s">
        <v>61</v>
      </c>
      <c r="C3" s="5">
        <v>3</v>
      </c>
      <c r="D3" s="5" t="s">
        <v>75</v>
      </c>
      <c r="E3" s="5">
        <f>Tabla1[[#This Row],[Valoración (1-4)]]*Tabla2[[#This Row],[Peso (%)]]/100</f>
        <v>0.45</v>
      </c>
    </row>
    <row r="4" spans="1:5" ht="51.5" customHeight="1" x14ac:dyDescent="0.35">
      <c r="A4" s="5" t="s">
        <v>16</v>
      </c>
      <c r="B4" s="5" t="s">
        <v>62</v>
      </c>
      <c r="C4" s="5">
        <v>3</v>
      </c>
      <c r="D4" s="5" t="s">
        <v>76</v>
      </c>
      <c r="E4" s="5">
        <f>Tabla1[[#This Row],[Valoración (1-4)]]*Tabla2[[#This Row],[Peso (%)]]/100</f>
        <v>0.45</v>
      </c>
    </row>
    <row r="5" spans="1:5" ht="55" customHeight="1" x14ac:dyDescent="0.35">
      <c r="A5" s="5" t="s">
        <v>21</v>
      </c>
      <c r="B5" s="5" t="s">
        <v>63</v>
      </c>
      <c r="C5" s="5">
        <v>3</v>
      </c>
      <c r="D5" s="5" t="s">
        <v>72</v>
      </c>
      <c r="E5" s="5">
        <f>Tabla1[[#This Row],[Valoración (1-4)]]*Tabla2[[#This Row],[Peso (%)]]/100</f>
        <v>0.45</v>
      </c>
    </row>
    <row r="6" spans="1:5" ht="49" customHeight="1" x14ac:dyDescent="0.35">
      <c r="A6" s="5" t="s">
        <v>26</v>
      </c>
      <c r="B6" s="5" t="s">
        <v>64</v>
      </c>
      <c r="C6" s="5">
        <v>2</v>
      </c>
      <c r="D6" s="5" t="s">
        <v>79</v>
      </c>
      <c r="E6" s="5">
        <f>Tabla1[[#This Row],[Valoración (1-4)]]*Tabla2[[#This Row],[Peso (%)]]/100</f>
        <v>0.1</v>
      </c>
    </row>
    <row r="7" spans="1:5" ht="46" customHeight="1" x14ac:dyDescent="0.35">
      <c r="A7" s="5" t="s">
        <v>31</v>
      </c>
      <c r="B7" s="5" t="s">
        <v>65</v>
      </c>
      <c r="C7" s="5">
        <v>3</v>
      </c>
      <c r="D7" s="5" t="s">
        <v>71</v>
      </c>
      <c r="E7" s="5">
        <f>Tabla1[[#This Row],[Valoración (1-4)]]*Tabla2[[#This Row],[Peso (%)]]/100</f>
        <v>0.15</v>
      </c>
    </row>
    <row r="8" spans="1:5" ht="76" customHeight="1" x14ac:dyDescent="0.35">
      <c r="A8" s="5" t="s">
        <v>36</v>
      </c>
      <c r="B8" s="5" t="s">
        <v>66</v>
      </c>
      <c r="C8" s="5">
        <v>3</v>
      </c>
      <c r="D8" s="5" t="s">
        <v>77</v>
      </c>
      <c r="E8" s="5">
        <f>Tabla1[[#This Row],[Valoración (1-4)]]*Tabla2[[#This Row],[Peso (%)]]/100</f>
        <v>0.15</v>
      </c>
    </row>
    <row r="9" spans="1:5" ht="43.5" x14ac:dyDescent="0.35">
      <c r="A9" s="5" t="s">
        <v>41</v>
      </c>
      <c r="B9" s="5" t="s">
        <v>67</v>
      </c>
      <c r="C9" s="5">
        <v>4</v>
      </c>
      <c r="D9" s="5" t="s">
        <v>73</v>
      </c>
      <c r="E9" s="5">
        <f>Tabla1[[#This Row],[Valoración (1-4)]]*Tabla2[[#This Row],[Peso (%)]]/100</f>
        <v>0.2</v>
      </c>
    </row>
    <row r="10" spans="1:5" ht="33.5" customHeight="1" x14ac:dyDescent="0.35">
      <c r="A10" s="5" t="s">
        <v>46</v>
      </c>
      <c r="B10" s="5" t="s">
        <v>68</v>
      </c>
      <c r="C10" s="5">
        <v>3</v>
      </c>
      <c r="D10" s="5" t="s">
        <v>70</v>
      </c>
      <c r="E10" s="5">
        <f>Tabla1[[#This Row],[Valoración (1-4)]]*Tabla2[[#This Row],[Peso (%)]]/100</f>
        <v>0.3</v>
      </c>
    </row>
    <row r="11" spans="1:5" ht="53.5" customHeight="1" x14ac:dyDescent="0.35">
      <c r="A11" s="5" t="s">
        <v>51</v>
      </c>
      <c r="B11" s="5" t="s">
        <v>69</v>
      </c>
      <c r="C11" s="5">
        <v>4</v>
      </c>
      <c r="D11" s="5" t="s">
        <v>78</v>
      </c>
      <c r="E11" s="5">
        <f>Tabla1[[#This Row],[Valoración (1-4)]]*Tabla2[[#This Row],[Peso (%)]]/100</f>
        <v>0.6</v>
      </c>
    </row>
    <row r="12" spans="1:5" x14ac:dyDescent="0.35">
      <c r="A12" s="5"/>
      <c r="B12" s="5"/>
      <c r="C12" s="5"/>
      <c r="E12" s="5">
        <f>SUM(Tabla1[Columna1])</f>
        <v>3.15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 individual</vt:lpstr>
      <vt:lpstr>Autoevaluación individual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ESPINA ARAGON Francisco Jose</dc:creator>
  <cp:keywords/>
  <dc:description/>
  <cp:lastModifiedBy>ESPEJO LUCENA Esther</cp:lastModifiedBy>
  <cp:revision/>
  <dcterms:created xsi:type="dcterms:W3CDTF">2025-05-07T05:43:31Z</dcterms:created>
  <dcterms:modified xsi:type="dcterms:W3CDTF">2025-05-21T10:28:20Z</dcterms:modified>
  <cp:category/>
  <cp:contentStatus/>
</cp:coreProperties>
</file>