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sther.espejo\Documents\FORMACIÓN\00_ADM\01_EVALUACION\"/>
    </mc:Choice>
  </mc:AlternateContent>
  <xr:revisionPtr revIDLastSave="0" documentId="13_ncr:1_{E6DBD52A-0ABC-4D79-A8F7-ED678EACEAB0}" xr6:coauthVersionLast="47" xr6:coauthVersionMax="47" xr10:uidLastSave="{00000000-0000-0000-0000-000000000000}"/>
  <bookViews>
    <workbookView xWindow="28680" yWindow="-120" windowWidth="29040" windowHeight="15720" activeTab="1" xr2:uid="{497D6E20-9A3C-432F-BF78-717BC962E7E7}"/>
  </bookViews>
  <sheets>
    <sheet name="Rúbrica Grupal" sheetId="3" r:id="rId1"/>
    <sheet name="Autoevaluación grup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 l="1"/>
</calcChain>
</file>

<file path=xl/sharedStrings.xml><?xml version="1.0" encoding="utf-8"?>
<sst xmlns="http://schemas.openxmlformats.org/spreadsheetml/2006/main" count="75" uniqueCount="66">
  <si>
    <t>Criterio</t>
  </si>
  <si>
    <t>Peso (%)</t>
  </si>
  <si>
    <t>Nivel 1 (Deficiente)</t>
  </si>
  <si>
    <t>Nivel 2 (Aceptable)</t>
  </si>
  <si>
    <t>Nivel 3 (Bueno)</t>
  </si>
  <si>
    <t>Nivel 4 (Excelente)</t>
  </si>
  <si>
    <t>Arquitectura y diseño del sistema</t>
  </si>
  <si>
    <r>
      <t xml:space="preserve">La arquitectura adoptada es inapropiada o inexistente; la estructura del proyecto es confusa y </t>
    </r>
    <r>
      <rPr>
        <b/>
        <sz val="11"/>
        <color theme="1"/>
        <rFont val="Aptos Narrow"/>
        <family val="2"/>
        <scheme val="minor"/>
      </rPr>
      <t>no se aplican</t>
    </r>
    <r>
      <rPr>
        <sz val="11"/>
        <color theme="1"/>
        <rFont val="Aptos Narrow"/>
        <family val="2"/>
        <scheme val="minor"/>
      </rPr>
      <t xml:space="preserve"> los principios SOLID ni patrones de diseño.</t>
    </r>
  </si>
  <si>
    <r>
      <t xml:space="preserve">La arquitectura es básica pero funcional; existe cierta organización del código, aunque con debilidades en la coherencia de diseño y aplicación </t>
    </r>
    <r>
      <rPr>
        <b/>
        <sz val="11"/>
        <color theme="1"/>
        <rFont val="Aptos Narrow"/>
        <family val="2"/>
        <scheme val="minor"/>
      </rPr>
      <t>parcial</t>
    </r>
    <r>
      <rPr>
        <sz val="11"/>
        <color theme="1"/>
        <rFont val="Aptos Narrow"/>
        <family val="2"/>
        <scheme val="minor"/>
      </rPr>
      <t xml:space="preserve"> de SOLID.</t>
    </r>
  </si>
  <si>
    <t>La arquitectura es adecuada al tipo de proyecto; se organizan bien las capas y módulos, se aplican principios SOLID en gran medida y se utilizan algunos patrones de diseño.</t>
  </si>
  <si>
    <r>
      <t xml:space="preserve">La arquitectura es clara, robusta y escalable; sigue patrones de diseño coherentes y </t>
    </r>
    <r>
      <rPr>
        <b/>
        <sz val="11"/>
        <color theme="1"/>
        <rFont val="Aptos Narrow"/>
        <family val="2"/>
        <scheme val="minor"/>
      </rPr>
      <t>todos</t>
    </r>
    <r>
      <rPr>
        <sz val="11"/>
        <color theme="1"/>
        <rFont val="Aptos Narrow"/>
        <family val="2"/>
        <scheme val="minor"/>
      </rPr>
      <t xml:space="preserve"> los principios SOLID se aplican correctamente en el proyecto.</t>
    </r>
  </si>
  <si>
    <t>Funcionalidad e implementación</t>
  </si>
  <si>
    <r>
      <t xml:space="preserve">Las funcionalidades básicas </t>
    </r>
    <r>
      <rPr>
        <b/>
        <sz val="11"/>
        <color theme="1"/>
        <rFont val="Aptos Narrow"/>
        <family val="2"/>
        <scheme val="minor"/>
      </rPr>
      <t>no están completas o fallan</t>
    </r>
    <r>
      <rPr>
        <sz val="11"/>
        <color theme="1"/>
        <rFont val="Aptos Narrow"/>
        <family val="2"/>
        <scheme val="minor"/>
      </rPr>
      <t xml:space="preserve"> con frecuencia; gran parte del sistema no se ha implementado o no funciona.</t>
    </r>
  </si>
  <si>
    <t>Las funcionalidades principales están implementadas, pero con errores o de forma incompleta; hay lagunas en varias características del proyecto.</t>
  </si>
  <si>
    <r>
      <t xml:space="preserve">La mayoría de las funcionalidades requeridas están implementadas correctamente y funcionan según lo esperado, con </t>
    </r>
    <r>
      <rPr>
        <b/>
        <sz val="11"/>
        <color theme="1"/>
        <rFont val="Aptos Narrow"/>
        <family val="2"/>
        <scheme val="minor"/>
      </rPr>
      <t>pocos errores</t>
    </r>
    <r>
      <rPr>
        <sz val="11"/>
        <color theme="1"/>
        <rFont val="Aptos Narrow"/>
        <family val="2"/>
        <scheme val="minor"/>
      </rPr>
      <t>.</t>
    </r>
  </si>
  <si>
    <r>
      <t xml:space="preserve">Todas las funcionalidades planificadas están implementadas correctamente; la aplicación es completa y fiable, </t>
    </r>
    <r>
      <rPr>
        <b/>
        <sz val="11"/>
        <color theme="1"/>
        <rFont val="Aptos Narrow"/>
        <family val="2"/>
        <scheme val="minor"/>
      </rPr>
      <t>sin errores significativos</t>
    </r>
    <r>
      <rPr>
        <sz val="11"/>
        <color theme="1"/>
        <rFont val="Aptos Narrow"/>
        <family val="2"/>
        <scheme val="minor"/>
      </rPr>
      <t>.</t>
    </r>
  </si>
  <si>
    <t>Pruebas unitarias</t>
  </si>
  <si>
    <r>
      <t>No existen</t>
    </r>
    <r>
      <rPr>
        <sz val="11"/>
        <color theme="1"/>
        <rFont val="Aptos Narrow"/>
        <family val="2"/>
        <scheme val="minor"/>
      </rPr>
      <t xml:space="preserve"> pruebas unitarias o son insuficientes; las pruebas cubren muy poca parte del código y no permiten verificar el funcionamiento.</t>
    </r>
  </si>
  <si>
    <t>Existen pruebas unitarias mínimas en backend y frontend, pero con cobertura limitada; algunos componentes clave no están probados.</t>
  </si>
  <si>
    <t>Se han escrito pruebas unitarias para la mayoría de los componentes importantes en backend y frontend, cubriendo casos relevantes y detectando la mayoría de los errores.</t>
  </si>
  <si>
    <t>Hay pruebas unitarias completas y bien estructuradas en backend y frontend; cubren los casos principales y garantizan la calidad del sistema.</t>
  </si>
  <si>
    <t>CI/CD y despliegue</t>
  </si>
  <si>
    <r>
      <t>No se ha configurado</t>
    </r>
    <r>
      <rPr>
        <sz val="11"/>
        <color theme="1"/>
        <rFont val="Aptos Narrow"/>
        <family val="2"/>
        <scheme val="minor"/>
      </rPr>
      <t xml:space="preserve"> ningún proceso de integración continua ni despliegue automatizado.</t>
    </r>
  </si>
  <si>
    <t>Se ha configurado algo de integración continua, pero de forma básica; el despliegue puede requerir pasos manuales significativos.</t>
  </si>
  <si>
    <t>Existe un pipeline de CI/CD en Azure DevOps funcional; se automatizan pruebas y despliegues a al menos un entorno de prueba.</t>
  </si>
  <si>
    <t>El pipeline de CI/CD está completamente automatizado en Azure DevOps; incluye pruebas automatizadas, análisis de código y despliegues automáticos a todos los entornos indicados.</t>
  </si>
  <si>
    <t>Documentación</t>
  </si>
  <si>
    <t>La documentación es muy escasa o inexistente; el README carece de información relevante o está desactualizado.</t>
  </si>
  <si>
    <t>El README cubre algunos aspectos básicos (objetivo o funcionalidades) pero omite partes importantes (por ejemplo, estructura del proyecto, despliegue, cómo colaborar).</t>
  </si>
  <si>
    <t>La documentación del README incluye la mayoría de los apartados requeridos (objetivo, funcionalidades, estructura, tecnología, despliegue, colaboración), aunque podría detallarse más.</t>
  </si>
  <si>
    <r>
      <t xml:space="preserve">La documentación es exhaustiva y clara; el README cubre </t>
    </r>
    <r>
      <rPr>
        <b/>
        <sz val="11"/>
        <color theme="1"/>
        <rFont val="Aptos Narrow"/>
        <family val="2"/>
        <scheme val="minor"/>
      </rPr>
      <t>todos</t>
    </r>
    <r>
      <rPr>
        <sz val="11"/>
        <color theme="1"/>
        <rFont val="Aptos Narrow"/>
        <family val="2"/>
        <scheme val="minor"/>
      </rPr>
      <t xml:space="preserve"> los aspectos requeridos (objetivos, funcionalidades, estructura, tecnologías, despliegue, colaboración, licencia) de manera completa.</t>
    </r>
  </si>
  <si>
    <t>Control de versiones y colaboraciones</t>
  </si>
  <si>
    <r>
      <t xml:space="preserve">No se usó un repositorio remoto adecuadamente; </t>
    </r>
    <r>
      <rPr>
        <b/>
        <sz val="11"/>
        <color theme="1"/>
        <rFont val="Aptos Narrow"/>
        <family val="2"/>
        <scheme val="minor"/>
      </rPr>
      <t>no hay</t>
    </r>
    <r>
      <rPr>
        <sz val="11"/>
        <color theme="1"/>
        <rFont val="Aptos Narrow"/>
        <family val="2"/>
        <scheme val="minor"/>
      </rPr>
      <t xml:space="preserve"> uso sistemático de pull requests ni revisiones de código, ni commits semánticos.</t>
    </r>
  </si>
  <si>
    <t>El repositorio remoto existe, pero el flujo de trabajo es irregular; se usan pull requests ocasionales sin revisiones sólidas y la convención de commits se aplica de forma inconsistente.</t>
  </si>
  <si>
    <t>Se trabaja con un repositorio remoto y se siguen los procesos de pull request con revisión de código; la mayoría de commits usa el formato semántico correctamente.</t>
  </si>
  <si>
    <t>Todas las contribuciones se realizan mediante pull requests revisadas; se usan convenciones de commits de forma constante y el historial de versiones está limpio y organizado.</t>
  </si>
  <si>
    <t>Mantenimiento del Backlog (sprints)</t>
  </si>
  <si>
    <r>
      <t xml:space="preserve">El backlog es </t>
    </r>
    <r>
      <rPr>
        <b/>
        <sz val="11"/>
        <color theme="1"/>
        <rFont val="Aptos Narrow"/>
        <family val="2"/>
        <scheme val="minor"/>
      </rPr>
      <t>inexistente</t>
    </r>
    <r>
      <rPr>
        <sz val="11"/>
        <color theme="1"/>
        <rFont val="Aptos Narrow"/>
        <family val="2"/>
        <scheme val="minor"/>
      </rPr>
      <t>, incompleto o no ha sido utilizado de manera activa durante el desarrollo del proyecto. La planificación ha sido improvisada y poco organizada.</t>
    </r>
  </si>
  <si>
    <r>
      <t xml:space="preserve">El equipo ha creado un </t>
    </r>
    <r>
      <rPr>
        <b/>
        <sz val="11"/>
        <color theme="1"/>
        <rFont val="Aptos Narrow"/>
        <family val="2"/>
        <scheme val="minor"/>
      </rPr>
      <t>backlog inicial</t>
    </r>
    <r>
      <rPr>
        <sz val="11"/>
        <color theme="1"/>
        <rFont val="Aptos Narrow"/>
        <family val="2"/>
        <scheme val="minor"/>
      </rPr>
      <t>, pero su mantenimiento ha sido irregular. Faltan priorizaciones claras o tareas importantes, y no se ha usado como herramienta central de gestión.</t>
    </r>
  </si>
  <si>
    <r>
      <t>El equipo ha mantenido un</t>
    </r>
    <r>
      <rPr>
        <b/>
        <sz val="11"/>
        <color theme="1"/>
        <rFont val="Aptos Narrow"/>
        <family val="2"/>
        <scheme val="minor"/>
      </rPr>
      <t xml:space="preserve"> backlog útil y actualizado</t>
    </r>
    <r>
      <rPr>
        <sz val="11"/>
        <color theme="1"/>
        <rFont val="Aptos Narrow"/>
        <family val="2"/>
        <scheme val="minor"/>
      </rPr>
      <t xml:space="preserve"> durante el proyecto. Las tareas han sido priorizadas de forma razonable y han guiado el trabajo del grupo con efectividad.</t>
    </r>
  </si>
  <si>
    <r>
      <t xml:space="preserve">El equipo ha utilizado el </t>
    </r>
    <r>
      <rPr>
        <b/>
        <sz val="11"/>
        <color theme="1"/>
        <rFont val="Aptos Narrow"/>
        <family val="2"/>
        <scheme val="minor"/>
      </rPr>
      <t>backlog</t>
    </r>
    <r>
      <rPr>
        <sz val="11"/>
        <color theme="1"/>
        <rFont val="Aptos Narrow"/>
        <family val="2"/>
        <scheme val="minor"/>
      </rPr>
      <t xml:space="preserve"> como herramienta </t>
    </r>
    <r>
      <rPr>
        <b/>
        <sz val="11"/>
        <color theme="1"/>
        <rFont val="Aptos Narrow"/>
        <family val="2"/>
        <scheme val="minor"/>
      </rPr>
      <t>clave</t>
    </r>
    <r>
      <rPr>
        <sz val="11"/>
        <color theme="1"/>
        <rFont val="Aptos Narrow"/>
        <family val="2"/>
        <scheme val="minor"/>
      </rPr>
      <t xml:space="preserve"> de gestión. Está bien estructurado, priorizado, revisado frecuentemente y refleja fielmente la evolución y necesidades del proyecto.</t>
    </r>
  </si>
  <si>
    <t>Trabajo en equipo y metodología ágil</t>
  </si>
  <si>
    <r>
      <t xml:space="preserve">Hay poca coordinación entre los miembros; </t>
    </r>
    <r>
      <rPr>
        <b/>
        <sz val="11"/>
        <color theme="1"/>
        <rFont val="Aptos Narrow"/>
        <family val="2"/>
        <scheme val="minor"/>
      </rPr>
      <t>no se siguen</t>
    </r>
    <r>
      <rPr>
        <sz val="11"/>
        <color theme="1"/>
        <rFont val="Aptos Narrow"/>
        <family val="2"/>
        <scheme val="minor"/>
      </rPr>
      <t xml:space="preserve"> prácticas ágiles ni se planifican entregas iterativas.</t>
    </r>
  </si>
  <si>
    <t>Se trabaja en equipo pero con organización limitada; se aplican prácticas ágiles básicas (por ejemplo, reuniones esporádicas, entregas) de forma inconsistente.</t>
  </si>
  <si>
    <t>El equipo colabora de forma efectiva; se utilizan metodologías ágiles (planificación de sprints, reuniones regulares) y se entregan iteraciones periódicas de valor.</t>
  </si>
  <si>
    <t>El trabajo en equipo es excelente; se aplican todas las prácticas ágiles (sprints planificados, reuniones diarias, retrospectivas) y las entregas iterativas aportan valor constante.</t>
  </si>
  <si>
    <t>¿Qué se mide?</t>
  </si>
  <si>
    <t xml:space="preserve">Valoración (1-4) </t>
  </si>
  <si>
    <t>Justificación</t>
  </si>
  <si>
    <t>Columna1</t>
  </si>
  <si>
    <t>Elección de la arquitectura adecuada al proyecto; coherencia en el diseño y uso de patrones/SOLID.</t>
  </si>
  <si>
    <t>Cumplimiento de las funcionalidades definidas; implementaciones correctas de las características requeridas.</t>
  </si>
  <si>
    <t>Presencia y cobertura de pruebas unitarias en backend y frontend; calidad de las pruebas.</t>
  </si>
  <si>
    <t>Implementación de pipelines de integración continua y despliegue automático en los entornos.</t>
  </si>
  <si>
    <t>Completitud del README con los apartados requeridos (objetivos, funcionalidades, estructura, tecnologías, etc.).</t>
  </si>
  <si>
    <t>Uso adecuado del repositorio (commits semánticos, pull requests, revisiones de código).</t>
  </si>
  <si>
    <t>Creación inicial y uso efectivo del Backlog a lo largo de proyecto</t>
  </si>
  <si>
    <t>Colaboración del equipo y aplicación de prácticas ágiles (planificación de sprints, reuniones, entregas iterativas).</t>
  </si>
  <si>
    <t>El proyecto se ha desarrollado implementando una arquitectura DDD adaptándose  a los requerimientos del cliente y la naturaleza del proyecto. Asimismo, se han aplicado rigurosamente los principios SOLID en el diseño del código, garantizando así una solución robusta, mantenible y escalable.</t>
  </si>
  <si>
    <t>Todas las funcionalidades planteadas han sido implementadas y funcionan correctamente. Existen algunas funcionalidades posibles que no se han implementado completamente.</t>
  </si>
  <si>
    <t xml:space="preserve">Se han realizado pruebas unitarias en el código del backend y frontend, utilizando Xunit y Vitest para garantizar el correcto funcionamiento y la calidad del producto. </t>
  </si>
  <si>
    <t>Hemos realizado de  manera proactiva al proceso de CI/CD, configurando pipelines eficientes y confiables que automatizan pruebas y despliegues en todos los entornos, además de intercambiar feedback valioso a otros equipos para mejorar el flujo de trabajo y la calidad general.</t>
  </si>
  <si>
    <t>Se ha trabajado con un repositorio remoto, realizado contribuciones a través de pull requests, revisando conflictos adecuadamente. Se ha procurado mantener una nomenclatura coherente y estructurada para ramas, Pull Requests y commits.</t>
  </si>
  <si>
    <t>La documentación es exhaustiva y completa cubriendo todos los apartados requeridos  (objetivos, funcionalidades, estructura, tecnologías, despliegue, colaboración, licencia) de manera completa.</t>
  </si>
  <si>
    <t>El equipo ha utilizado el backlog, gestionado a través de Azure, como eje principal en la planificación y seguimiento del proyecto. Su estructura es clara, con prioridades bien definidas, revisiones periódicas y una representación precisa tanto del avance del desarrollo como de las necesidades identificadas en cada sprint.</t>
  </si>
  <si>
    <t>El equipo a colaborado activamente en el proyecto y se han aplicado todas las metodologías ágiles (planificación de sprints, reuniones, entregas iterativas) para garantizar el aporte de valor al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</si>
</sst>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1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38A603-1A94-4140-BCDD-8C5D610BCA40}" name="Tabla3" displayName="Tabla3" ref="A1:F9" totalsRowShown="0" headerRowDxfId="18" dataDxfId="17">
  <autoFilter ref="A1:F9" xr:uid="{CC38A603-1A94-4140-BCDD-8C5D610BCA40}"/>
  <tableColumns count="6">
    <tableColumn id="1" xr3:uid="{DE339F90-1983-44BB-ACC6-4F5FB569A1B0}" name="Criterio" dataDxfId="16"/>
    <tableColumn id="2" xr3:uid="{1D02F33C-DB79-4ECC-BACF-799E8880ABB0}" name="Peso (%)" dataDxfId="15"/>
    <tableColumn id="3" xr3:uid="{C5E78DFB-AE26-455E-9311-B0999978D969}" name="Nivel 1 (Deficiente)" dataDxfId="14"/>
    <tableColumn id="4" xr3:uid="{1998BA64-235A-4B4A-8B5C-045CFB743DF8}" name="Nivel 2 (Aceptable)" dataDxfId="13"/>
    <tableColumn id="5" xr3:uid="{B28A1C9C-50D0-403D-A907-476425A09908}" name="Nivel 3 (Bueno)" dataDxfId="12"/>
    <tableColumn id="6" xr3:uid="{3E5A584C-44C1-4BB8-9E20-64CA36D5644A}" name="Nivel 4 (Excelente)" dataDxfId="11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3932136-0D88-4AC0-B33A-6033BD7FE7B1}" name="Tabla4" displayName="Tabla4" ref="A1:E10" totalsRowCount="1" headerRowDxfId="10" dataDxfId="9">
  <autoFilter ref="A1:E9" xr:uid="{A3932136-0D88-4AC0-B33A-6033BD7FE7B1}"/>
  <tableColumns count="5">
    <tableColumn id="1" xr3:uid="{836E8B5B-319B-41DD-916C-0B54AB18EE4F}" name="Criterio" dataDxfId="8" totalsRowDxfId="3"/>
    <tableColumn id="2" xr3:uid="{9E8E9414-45BE-4B89-A99A-2397AF792D35}" name="¿Qué se mide?" dataDxfId="7" totalsRowDxfId="2"/>
    <tableColumn id="3" xr3:uid="{335AF486-A9B1-4C17-8528-B3A5447FF922}" name="Valoración (1-4) " dataDxfId="6" totalsRowDxfId="1"/>
    <tableColumn id="4" xr3:uid="{D9B324E8-820A-457C-BAA8-8A1B0F93F226}" name="Justificación" dataDxfId="4"/>
    <tableColumn id="5" xr3:uid="{C49699A5-5E53-479B-9415-2B46E9E3DB44}" name="Columna1" totalsRowFunction="custom" dataDxfId="5" totalsRowDxfId="0">
      <calculatedColumnFormula>Tabla4[[#This Row],[Valoración (1-4) ]]*Tabla3[[#This Row],[Peso (%)]]/100</calculatedColumnFormula>
      <totalsRowFormula>SUM(Tabla4[Columna1])</totalsRow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549F9-ECCE-416E-892F-51043E9C971D}">
  <dimension ref="A1:F9"/>
  <sheetViews>
    <sheetView zoomScale="85" zoomScaleNormal="85" workbookViewId="0">
      <selection activeCell="F8" sqref="F8"/>
    </sheetView>
  </sheetViews>
  <sheetFormatPr baseColWidth="10" defaultColWidth="11.453125" defaultRowHeight="14.5" x14ac:dyDescent="0.35"/>
  <cols>
    <col min="1" max="1" width="37.7265625" customWidth="1"/>
    <col min="2" max="2" width="11.453125" style="8"/>
    <col min="3" max="6" width="50.7265625" customWidth="1"/>
  </cols>
  <sheetData>
    <row r="1" spans="1:6" x14ac:dyDescent="0.35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43.5" x14ac:dyDescent="0.35">
      <c r="A2" s="7" t="s">
        <v>6</v>
      </c>
      <c r="B2" s="2">
        <v>15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6" ht="43.5" x14ac:dyDescent="0.35">
      <c r="A3" s="7" t="s">
        <v>11</v>
      </c>
      <c r="B3" s="2">
        <v>10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6" ht="43.5" x14ac:dyDescent="0.35">
      <c r="A4" s="7" t="s">
        <v>16</v>
      </c>
      <c r="B4" s="2">
        <v>15</v>
      </c>
      <c r="C4" s="5" t="s">
        <v>17</v>
      </c>
      <c r="D4" s="4" t="s">
        <v>18</v>
      </c>
      <c r="E4" s="4" t="s">
        <v>19</v>
      </c>
      <c r="F4" s="4" t="s">
        <v>20</v>
      </c>
    </row>
    <row r="5" spans="1:6" ht="58" x14ac:dyDescent="0.35">
      <c r="A5" s="7" t="s">
        <v>21</v>
      </c>
      <c r="B5" s="2">
        <v>15</v>
      </c>
      <c r="C5" s="5" t="s">
        <v>22</v>
      </c>
      <c r="D5" s="4" t="s">
        <v>23</v>
      </c>
      <c r="E5" s="4" t="s">
        <v>24</v>
      </c>
      <c r="F5" s="4" t="s">
        <v>25</v>
      </c>
    </row>
    <row r="6" spans="1:6" ht="58" x14ac:dyDescent="0.35">
      <c r="A6" s="7" t="s">
        <v>26</v>
      </c>
      <c r="B6" s="2">
        <v>15</v>
      </c>
      <c r="C6" s="4" t="s">
        <v>27</v>
      </c>
      <c r="D6" s="4" t="s">
        <v>28</v>
      </c>
      <c r="E6" s="4" t="s">
        <v>29</v>
      </c>
      <c r="F6" s="4" t="s">
        <v>30</v>
      </c>
    </row>
    <row r="7" spans="1:6" ht="58" x14ac:dyDescent="0.35">
      <c r="A7" s="7" t="s">
        <v>31</v>
      </c>
      <c r="B7" s="2">
        <v>10</v>
      </c>
      <c r="C7" s="4" t="s">
        <v>32</v>
      </c>
      <c r="D7" s="4" t="s">
        <v>33</v>
      </c>
      <c r="E7" s="4" t="s">
        <v>34</v>
      </c>
      <c r="F7" s="4" t="s">
        <v>35</v>
      </c>
    </row>
    <row r="8" spans="1:6" ht="58" x14ac:dyDescent="0.35">
      <c r="A8" s="7" t="s">
        <v>36</v>
      </c>
      <c r="B8" s="2">
        <v>10</v>
      </c>
      <c r="C8" s="1" t="s">
        <v>37</v>
      </c>
      <c r="D8" s="1" t="s">
        <v>38</v>
      </c>
      <c r="E8" s="1" t="s">
        <v>39</v>
      </c>
      <c r="F8" s="1" t="s">
        <v>40</v>
      </c>
    </row>
    <row r="9" spans="1:6" ht="58" x14ac:dyDescent="0.35">
      <c r="A9" s="7" t="s">
        <v>41</v>
      </c>
      <c r="B9" s="2">
        <v>10</v>
      </c>
      <c r="C9" s="4" t="s">
        <v>42</v>
      </c>
      <c r="D9" s="4" t="s">
        <v>43</v>
      </c>
      <c r="E9" s="4" t="s">
        <v>44</v>
      </c>
      <c r="F9" s="4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037B-B8BD-42D5-9583-6E76AF3861E9}">
  <dimension ref="A1:E10"/>
  <sheetViews>
    <sheetView tabSelected="1" topLeftCell="A2" workbookViewId="0">
      <selection activeCell="H8" sqref="H8"/>
    </sheetView>
  </sheetViews>
  <sheetFormatPr baseColWidth="10" defaultColWidth="11.453125" defaultRowHeight="14.5" x14ac:dyDescent="0.35"/>
  <cols>
    <col min="1" max="1" width="30.54296875" style="1" bestFit="1" customWidth="1"/>
    <col min="2" max="2" width="53.81640625" style="1" customWidth="1"/>
    <col min="3" max="3" width="26.54296875" customWidth="1"/>
    <col min="4" max="4" width="64.26953125" customWidth="1"/>
    <col min="5" max="5" width="0" hidden="1" customWidth="1"/>
  </cols>
  <sheetData>
    <row r="1" spans="1:5" x14ac:dyDescent="0.35">
      <c r="A1" s="3" t="s">
        <v>0</v>
      </c>
      <c r="B1" s="3" t="s">
        <v>46</v>
      </c>
      <c r="C1" s="3" t="s">
        <v>47</v>
      </c>
      <c r="D1" s="3" t="s">
        <v>48</v>
      </c>
      <c r="E1" s="3" t="s">
        <v>49</v>
      </c>
    </row>
    <row r="2" spans="1:5" ht="83" customHeight="1" x14ac:dyDescent="0.35">
      <c r="A2" s="6" t="s">
        <v>6</v>
      </c>
      <c r="B2" s="6" t="s">
        <v>50</v>
      </c>
      <c r="C2" s="6">
        <v>4</v>
      </c>
      <c r="D2" s="6" t="s">
        <v>58</v>
      </c>
      <c r="E2" s="6">
        <f>Tabla4[[#This Row],[Valoración (1-4) ]]*Tabla3[[#This Row],[Peso (%)]]/100</f>
        <v>0.6</v>
      </c>
    </row>
    <row r="3" spans="1:5" ht="61.5" customHeight="1" x14ac:dyDescent="0.35">
      <c r="A3" s="6" t="s">
        <v>11</v>
      </c>
      <c r="B3" s="6" t="s">
        <v>51</v>
      </c>
      <c r="C3" s="6">
        <v>3</v>
      </c>
      <c r="D3" s="6" t="s">
        <v>59</v>
      </c>
      <c r="E3" s="6">
        <f>Tabla4[[#This Row],[Valoración (1-4) ]]*Tabla3[[#This Row],[Peso (%)]]/100</f>
        <v>0.3</v>
      </c>
    </row>
    <row r="4" spans="1:5" ht="58.5" customHeight="1" x14ac:dyDescent="0.35">
      <c r="A4" s="6" t="s">
        <v>16</v>
      </c>
      <c r="B4" s="6" t="s">
        <v>52</v>
      </c>
      <c r="C4" s="6">
        <v>3</v>
      </c>
      <c r="D4" s="6" t="s">
        <v>60</v>
      </c>
      <c r="E4" s="6">
        <f>Tabla4[[#This Row],[Valoración (1-4) ]]*Tabla3[[#This Row],[Peso (%)]]/100</f>
        <v>0.45</v>
      </c>
    </row>
    <row r="5" spans="1:5" ht="73" customHeight="1" x14ac:dyDescent="0.35">
      <c r="A5" s="6" t="s">
        <v>21</v>
      </c>
      <c r="B5" s="6" t="s">
        <v>53</v>
      </c>
      <c r="C5" s="6">
        <v>4</v>
      </c>
      <c r="D5" s="6" t="s">
        <v>61</v>
      </c>
      <c r="E5" s="6">
        <f>Tabla4[[#This Row],[Valoración (1-4) ]]*Tabla3[[#This Row],[Peso (%)]]/100</f>
        <v>0.6</v>
      </c>
    </row>
    <row r="6" spans="1:5" ht="56" customHeight="1" x14ac:dyDescent="0.35">
      <c r="A6" s="6" t="s">
        <v>26</v>
      </c>
      <c r="B6" s="6" t="s">
        <v>54</v>
      </c>
      <c r="C6" s="6">
        <v>4</v>
      </c>
      <c r="D6" s="6" t="s">
        <v>63</v>
      </c>
      <c r="E6" s="6">
        <f>Tabla4[[#This Row],[Valoración (1-4) ]]*Tabla3[[#This Row],[Peso (%)]]/100</f>
        <v>0.6</v>
      </c>
    </row>
    <row r="7" spans="1:5" ht="70" customHeight="1" x14ac:dyDescent="0.35">
      <c r="A7" s="6" t="s">
        <v>31</v>
      </c>
      <c r="B7" s="6" t="s">
        <v>55</v>
      </c>
      <c r="C7" s="6">
        <v>3</v>
      </c>
      <c r="D7" s="6" t="s">
        <v>62</v>
      </c>
      <c r="E7" s="6">
        <f>Tabla4[[#This Row],[Valoración (1-4) ]]*Tabla3[[#This Row],[Peso (%)]]/100</f>
        <v>0.3</v>
      </c>
    </row>
    <row r="8" spans="1:5" ht="85.5" customHeight="1" x14ac:dyDescent="0.35">
      <c r="A8" s="6" t="s">
        <v>36</v>
      </c>
      <c r="B8" s="6" t="s">
        <v>56</v>
      </c>
      <c r="C8" s="6">
        <v>4</v>
      </c>
      <c r="D8" s="6" t="s">
        <v>64</v>
      </c>
      <c r="E8" s="6">
        <f>Tabla4[[#This Row],[Valoración (1-4) ]]*Tabla3[[#This Row],[Peso (%)]]/100</f>
        <v>0.4</v>
      </c>
    </row>
    <row r="9" spans="1:5" ht="50" customHeight="1" x14ac:dyDescent="0.35">
      <c r="A9" s="6" t="s">
        <v>41</v>
      </c>
      <c r="B9" s="6" t="s">
        <v>57</v>
      </c>
      <c r="C9" s="6">
        <v>4</v>
      </c>
      <c r="D9" s="6" t="s">
        <v>65</v>
      </c>
      <c r="E9" s="6">
        <f>Tabla4[[#This Row],[Valoración (1-4) ]]*Tabla3[[#This Row],[Peso (%)]]/100</f>
        <v>0.4</v>
      </c>
    </row>
    <row r="10" spans="1:5" x14ac:dyDescent="0.35">
      <c r="A10" s="6"/>
      <c r="B10" s="6"/>
      <c r="C10" s="6"/>
      <c r="E10" s="6">
        <f>SUM(Tabla4[Columna1])</f>
        <v>3.6499999999999995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 Grupal</vt:lpstr>
      <vt:lpstr>Autoevaluación grupal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ESPINA ARAGON Francisco Jose</dc:creator>
  <cp:keywords/>
  <dc:description/>
  <cp:lastModifiedBy>ESPEJO LUCENA Esther</cp:lastModifiedBy>
  <cp:revision/>
  <dcterms:created xsi:type="dcterms:W3CDTF">2025-05-07T05:43:31Z</dcterms:created>
  <dcterms:modified xsi:type="dcterms:W3CDTF">2025-05-21T08:10:51Z</dcterms:modified>
  <cp:category/>
  <cp:contentStatus/>
</cp:coreProperties>
</file>